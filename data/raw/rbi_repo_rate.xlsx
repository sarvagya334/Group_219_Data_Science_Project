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<sst xmlns="http://schemas.openxmlformats.org/spreadsheetml/2006/main" count="3" uniqueCount="3">
  <si>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Effective Date</t>
  </si>
  <si>
    <t>Repo Rate*</t>
  </si>
  <si>
    <t>Change (percentage points)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</si>
</sst>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b/>
      <color rgb="FF333333"/>
      <name val="Gilmer"/>
    </font>
    <font>
      <color rgb="FF333333"/>
      <name val="Gilm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FFCB08"/>
      </left>
      <right style="thin">
        <color rgb="FFFFCB08"/>
      </right>
      <top style="thin">
        <color rgb="FFFFCB08"/>
      </top>
      <bottom style="thin">
        <color rgb="FFFFCB08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164" xfId="0" applyAlignment="1" applyBorder="1" applyFill="1" applyFont="1" applyNumberFormat="1">
      <alignment horizontal="center" readingOrder="0"/>
    </xf>
    <xf borderId="1" fillId="2" fontId="2" numFmtId="10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0.13"/>
    <col customWidth="1" min="3" max="3" width="23.5"/>
  </cols>
  <sheetData>
    <row r="1">
      <c r="A1" s="1" t="s">
        <v>0</v>
      </c>
      <c r="B1" s="1" t="s">
        <v>1</v>
      </c>
      <c r="C1" s="1" t="s">
        <v>2</v>
      </c>
    </row>
    <row r="2">
      <c r="A2" s="2">
        <v>40256.0</v>
      </c>
      <c r="B2" s="3">
        <v>0.05</v>
      </c>
      <c r="C2" s="4">
        <f t="shared" ref="C2:C9" si="1">+0.25%</f>
        <v>0.0025</v>
      </c>
    </row>
    <row r="3">
      <c r="A3" s="2">
        <v>40288.0</v>
      </c>
      <c r="B3" s="3">
        <v>0.0525</v>
      </c>
      <c r="C3" s="4">
        <f t="shared" si="1"/>
        <v>0.0025</v>
      </c>
    </row>
    <row r="4">
      <c r="A4" s="2">
        <v>40361.0</v>
      </c>
      <c r="B4" s="3">
        <v>0.055</v>
      </c>
      <c r="C4" s="4">
        <f t="shared" si="1"/>
        <v>0.0025</v>
      </c>
    </row>
    <row r="5">
      <c r="A5" s="2">
        <v>40386.0</v>
      </c>
      <c r="B5" s="3">
        <v>0.0575</v>
      </c>
      <c r="C5" s="4">
        <f t="shared" si="1"/>
        <v>0.0025</v>
      </c>
    </row>
    <row r="6">
      <c r="A6" s="2">
        <v>40437.0</v>
      </c>
      <c r="B6" s="3">
        <v>0.06</v>
      </c>
      <c r="C6" s="4">
        <f t="shared" si="1"/>
        <v>0.0025</v>
      </c>
    </row>
    <row r="7">
      <c r="A7" s="2">
        <v>40484.0</v>
      </c>
      <c r="B7" s="3">
        <v>0.0625</v>
      </c>
      <c r="C7" s="4">
        <f t="shared" si="1"/>
        <v>0.0025</v>
      </c>
    </row>
    <row r="8">
      <c r="A8" s="2">
        <v>40568.0</v>
      </c>
      <c r="B8" s="3">
        <v>0.065</v>
      </c>
      <c r="C8" s="4">
        <f t="shared" si="1"/>
        <v>0.0025</v>
      </c>
    </row>
    <row r="9">
      <c r="A9" s="2">
        <v>40619.0</v>
      </c>
      <c r="B9" s="3">
        <v>0.0675</v>
      </c>
      <c r="C9" s="4">
        <f t="shared" si="1"/>
        <v>0.0025</v>
      </c>
    </row>
    <row r="10">
      <c r="A10" s="2">
        <v>40666.0</v>
      </c>
      <c r="B10" s="3">
        <v>0.0725</v>
      </c>
      <c r="C10" s="4">
        <f>+0.5%</f>
        <v>0.005</v>
      </c>
    </row>
    <row r="11">
      <c r="A11" s="2">
        <v>40710.0</v>
      </c>
      <c r="B11" s="3">
        <v>0.075</v>
      </c>
      <c r="C11" s="4">
        <f>+0.25%</f>
        <v>0.0025</v>
      </c>
    </row>
    <row r="12">
      <c r="A12" s="2">
        <v>40750.0</v>
      </c>
      <c r="B12" s="3">
        <v>0.08</v>
      </c>
      <c r="C12" s="4">
        <f>+0.5%</f>
        <v>0.005</v>
      </c>
    </row>
    <row r="13">
      <c r="A13" s="2">
        <v>40802.0</v>
      </c>
      <c r="B13" s="3">
        <v>0.0825</v>
      </c>
      <c r="C13" s="4">
        <f t="shared" ref="C13:C14" si="2">+0.25%</f>
        <v>0.0025</v>
      </c>
    </row>
    <row r="14">
      <c r="A14" s="2">
        <v>40841.0</v>
      </c>
      <c r="B14" s="3">
        <v>0.085</v>
      </c>
      <c r="C14" s="4">
        <f t="shared" si="2"/>
        <v>0.0025</v>
      </c>
    </row>
    <row r="15">
      <c r="A15" s="2">
        <v>41016.0</v>
      </c>
      <c r="B15" s="3">
        <v>0.08</v>
      </c>
      <c r="C15" s="3">
        <v>-0.005</v>
      </c>
    </row>
    <row r="16">
      <c r="A16" s="2">
        <v>41303.0</v>
      </c>
      <c r="B16" s="3">
        <v>0.0775</v>
      </c>
      <c r="C16" s="3">
        <v>-0.0025</v>
      </c>
    </row>
    <row r="17">
      <c r="A17" s="2">
        <v>41352.0</v>
      </c>
      <c r="B17" s="3">
        <v>0.075</v>
      </c>
      <c r="C17" s="3">
        <v>-0.0025</v>
      </c>
    </row>
    <row r="18">
      <c r="A18" s="2">
        <v>41397.0</v>
      </c>
      <c r="B18" s="3">
        <v>0.0725</v>
      </c>
      <c r="C18" s="3">
        <v>-0.0025</v>
      </c>
    </row>
    <row r="19">
      <c r="A19" s="2">
        <v>41537.0</v>
      </c>
      <c r="B19" s="3">
        <v>0.075</v>
      </c>
      <c r="C19" s="4">
        <f t="shared" ref="C19:C21" si="3">+0.25%</f>
        <v>0.0025</v>
      </c>
    </row>
    <row r="20">
      <c r="A20" s="2">
        <v>41576.0</v>
      </c>
      <c r="B20" s="3">
        <v>0.0775</v>
      </c>
      <c r="C20" s="4">
        <f t="shared" si="3"/>
        <v>0.0025</v>
      </c>
    </row>
    <row r="21">
      <c r="A21" s="2">
        <v>41667.0</v>
      </c>
      <c r="B21" s="3">
        <v>0.08</v>
      </c>
      <c r="C21" s="4">
        <f t="shared" si="3"/>
        <v>0.0025</v>
      </c>
    </row>
    <row r="22">
      <c r="A22" s="2">
        <v>42019.0</v>
      </c>
      <c r="B22" s="3">
        <v>0.0775</v>
      </c>
      <c r="C22" s="3">
        <v>-0.0025</v>
      </c>
    </row>
    <row r="23">
      <c r="A23" s="2">
        <v>42067.0</v>
      </c>
      <c r="B23" s="3">
        <v>0.075</v>
      </c>
      <c r="C23" s="3">
        <v>-0.0025</v>
      </c>
    </row>
    <row r="24">
      <c r="A24" s="2">
        <v>42157.0</v>
      </c>
      <c r="B24" s="3">
        <v>0.0725</v>
      </c>
      <c r="C24" s="3">
        <v>-0.0025</v>
      </c>
    </row>
    <row r="25">
      <c r="A25" s="2">
        <v>42276.0</v>
      </c>
      <c r="B25" s="3">
        <v>0.0675</v>
      </c>
      <c r="C25" s="3">
        <v>-0.005</v>
      </c>
    </row>
    <row r="26">
      <c r="A26" s="2">
        <v>42465.0</v>
      </c>
      <c r="B26" s="3">
        <v>0.065</v>
      </c>
      <c r="C26" s="3">
        <v>-0.0025</v>
      </c>
    </row>
    <row r="27">
      <c r="A27" s="2">
        <v>42647.0</v>
      </c>
      <c r="B27" s="3">
        <v>0.0625</v>
      </c>
      <c r="C27" s="3">
        <v>-0.0025</v>
      </c>
    </row>
    <row r="28">
      <c r="A28" s="2">
        <v>42949.0</v>
      </c>
      <c r="B28" s="3">
        <v>0.06</v>
      </c>
      <c r="C28" s="3">
        <v>-0.0025</v>
      </c>
    </row>
    <row r="29">
      <c r="A29" s="2">
        <v>43257.0</v>
      </c>
      <c r="B29" s="3">
        <v>0.0625</v>
      </c>
      <c r="C29" s="4">
        <f t="shared" ref="C29:C30" si="4">+0.25%</f>
        <v>0.0025</v>
      </c>
    </row>
    <row r="30">
      <c r="A30" s="2">
        <v>43313.0</v>
      </c>
      <c r="B30" s="3">
        <v>0.065</v>
      </c>
      <c r="C30" s="4">
        <f t="shared" si="4"/>
        <v>0.0025</v>
      </c>
    </row>
    <row r="31">
      <c r="A31" s="2">
        <v>43503.0</v>
      </c>
      <c r="B31" s="3">
        <v>0.0625</v>
      </c>
      <c r="C31" s="3">
        <v>-0.0025</v>
      </c>
    </row>
    <row r="32">
      <c r="A32" s="2">
        <v>43559.0</v>
      </c>
      <c r="B32" s="3">
        <v>0.06</v>
      </c>
      <c r="C32" s="3">
        <v>-0.0025</v>
      </c>
    </row>
    <row r="33">
      <c r="A33" s="2">
        <v>43622.0</v>
      </c>
      <c r="B33" s="3">
        <v>0.0575</v>
      </c>
      <c r="C33" s="3">
        <v>-0.0025</v>
      </c>
    </row>
    <row r="34">
      <c r="A34" s="2">
        <v>43684.0</v>
      </c>
      <c r="B34" s="3">
        <v>0.054</v>
      </c>
      <c r="C34" s="3">
        <v>-0.0035</v>
      </c>
    </row>
    <row r="35">
      <c r="A35" s="2">
        <v>43742.0</v>
      </c>
      <c r="B35" s="3">
        <v>0.0515</v>
      </c>
      <c r="C35" s="3">
        <v>-0.0025</v>
      </c>
    </row>
    <row r="36">
      <c r="A36" s="2">
        <v>43917.0</v>
      </c>
      <c r="B36" s="3">
        <v>0.044</v>
      </c>
      <c r="C36" s="3">
        <v>-0.0075</v>
      </c>
    </row>
    <row r="37">
      <c r="A37" s="2">
        <v>43973.0</v>
      </c>
      <c r="B37" s="3">
        <v>0.04</v>
      </c>
      <c r="C37" s="3">
        <v>-0.004</v>
      </c>
    </row>
    <row r="38">
      <c r="A38" s="2">
        <v>44049.0</v>
      </c>
      <c r="B38" s="3">
        <v>0.04</v>
      </c>
      <c r="C38" s="3">
        <v>0.0</v>
      </c>
    </row>
    <row r="39">
      <c r="A39" s="2">
        <v>44113.0</v>
      </c>
      <c r="B39" s="3">
        <v>0.04</v>
      </c>
      <c r="C39" s="3">
        <v>0.0</v>
      </c>
    </row>
    <row r="40">
      <c r="A40" s="2">
        <v>44685.0</v>
      </c>
      <c r="B40" s="3">
        <v>0.044</v>
      </c>
      <c r="C40" s="4">
        <f>+0.4%</f>
        <v>0.004</v>
      </c>
    </row>
    <row r="41">
      <c r="A41" s="2">
        <v>44720.0</v>
      </c>
      <c r="B41" s="3">
        <v>0.049</v>
      </c>
      <c r="C41" s="4">
        <f t="shared" ref="C41:C43" si="5">+0.5%</f>
        <v>0.005</v>
      </c>
    </row>
    <row r="42">
      <c r="A42" s="2">
        <v>44778.0</v>
      </c>
      <c r="B42" s="3">
        <v>0.054</v>
      </c>
      <c r="C42" s="4">
        <f t="shared" si="5"/>
        <v>0.005</v>
      </c>
    </row>
    <row r="43">
      <c r="A43" s="2">
        <v>44834.0</v>
      </c>
      <c r="B43" s="3">
        <v>0.059</v>
      </c>
      <c r="C43" s="4">
        <f t="shared" si="5"/>
        <v>0.005</v>
      </c>
    </row>
    <row r="44">
      <c r="A44" s="2">
        <v>44902.0</v>
      </c>
      <c r="B44" s="3">
        <v>0.0625</v>
      </c>
      <c r="C44" s="4">
        <f>+0.35%</f>
        <v>0.0035</v>
      </c>
    </row>
    <row r="45">
      <c r="A45" s="2">
        <v>44965.0</v>
      </c>
      <c r="B45" s="3">
        <v>0.065</v>
      </c>
      <c r="C45" s="4">
        <f>+0.25%</f>
        <v>0.0025</v>
      </c>
    </row>
    <row r="46">
      <c r="A46" s="2">
        <v>45085.0</v>
      </c>
      <c r="B46" s="3">
        <v>0.065</v>
      </c>
      <c r="C46" s="3">
        <v>0.0</v>
      </c>
    </row>
    <row r="47">
      <c r="A47" s="2">
        <v>45574.0</v>
      </c>
      <c r="B47" s="3">
        <v>0.065</v>
      </c>
      <c r="C47" s="3">
        <v>0.0</v>
      </c>
    </row>
    <row r="48">
      <c r="A48" s="2">
        <v>45632.0</v>
      </c>
      <c r="B48" s="3">
        <v>0.065</v>
      </c>
      <c r="C48" s="3">
        <v>0.0</v>
      </c>
    </row>
    <row r="49">
      <c r="A49" s="2">
        <v>45695.0</v>
      </c>
      <c r="B49" s="3">
        <v>0.0625</v>
      </c>
      <c r="C49" s="3">
        <v>-0.0025</v>
      </c>
    </row>
    <row r="50">
      <c r="A50" s="2">
        <v>45756.0</v>
      </c>
      <c r="B50" s="3">
        <v>0.06</v>
      </c>
      <c r="C50" s="3">
        <v>-0.0025</v>
      </c>
    </row>
    <row r="51">
      <c r="A51" s="2">
        <v>45814.0</v>
      </c>
      <c r="B51" s="3">
        <v>0.055</v>
      </c>
      <c r="C51" s="3">
        <v>-0.005</v>
      </c>
    </row>
    <row r="52">
      <c r="A52" s="2">
        <v>45875.0</v>
      </c>
      <c r="B52" s="3">
        <v>0.055</v>
      </c>
      <c r="C52" s="3">
        <v>0.0</v>
      </c>
    </row>
    <row r="53">
      <c r="A53" s="2">
        <v>45931.0</v>
      </c>
      <c r="B53" s="3">
        <v>0.055</v>
      </c>
      <c r="C53" s="3">
        <v>0.0</v>
      </c>
    </row>
    <row r="54">
      <c r="A54" s="2">
        <v>45996.0</v>
      </c>
      <c r="B54" s="3">
        <v>0.0525</v>
      </c>
      <c r="C54" s="3">
        <v>-0.0025</v>
      </c>
    </row>
    <row r="55">
      <c r="A55" s="2">
        <v>46059.0</v>
      </c>
      <c r="B55" s="3">
        <v>0.0525</v>
      </c>
      <c r="C55" s="3">
        <v>0.0</v>
      </c>
    </row>
    <row r="56">
      <c r="A56" s="2">
        <v>46120.0</v>
      </c>
      <c r="B56" s="3">
        <v>0.0525</v>
      </c>
      <c r="C56" s="3">
        <v>0.0</v>
      </c>
    </row>
    <row r="57">
      <c r="A57" s="2">
        <v>46178.0</v>
      </c>
      <c r="B57" s="3">
        <v>0.0525</v>
      </c>
      <c r="C57" s="3">
        <v>0.0</v>
      </c>
    </row>
    <row r="58">
      <c r="A58" s="2">
        <v>46239.0</v>
      </c>
      <c r="B58" s="3">
        <v>0.0525</v>
      </c>
      <c r="C58" s="3">
        <v>0.0</v>
      </c>
    </row>
    <row r="59">
      <c r="A59" s="2">
        <v>46302.0</v>
      </c>
      <c r="B59" s="3">
        <v>0.055</v>
      </c>
      <c r="C59" s="4">
        <f>+0.25%</f>
        <v>0.0025</v>
      </c>
    </row>
  </sheetData>
  <drawing r:id="rId1"/>
</worksheet>
</file>